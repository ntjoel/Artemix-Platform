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olatore Multi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F4E7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F6000"/>
      <sz val="11"/>
    </font>
    <font>
      <name val="Calibri"/>
      <color rgb="FF808080"/>
      <sz val="11"/>
    </font>
    <font>
      <name val="Calibri"/>
      <i val="1"/>
      <color rgb="FF808080"/>
      <sz val="11"/>
    </font>
    <font>
      <name val="Calibri"/>
      <b val="1"/>
      <color rgb="FF375623"/>
      <sz val="11"/>
    </font>
    <font>
      <name val="Calibri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pivotButton="0" quotePrefix="0" xfId="0"/>
    <xf numFmtId="0" fontId="5" fillId="5" borderId="2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2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" fontId="8" fillId="6" borderId="2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58" customWidth="1" min="4" max="4"/>
  </cols>
  <sheetData>
    <row r="1" ht="30" customHeight="1">
      <c r="A1" s="1" t="inlineStr">
        <is>
          <t>CALCOLATORE PARAMETRI MULTISHOT — QtisVisionPanel</t>
        </is>
      </c>
    </row>
    <row r="2" ht="18" customHeight="1">
      <c r="A2" s="2" t="inlineStr">
        <is>
          <t xml:space="preserve">  Inserire i valori nelle celle gialle ▶  le celle verdi si calcolano automaticamente</t>
        </is>
      </c>
    </row>
    <row r="3" ht="6" customHeight="1"/>
    <row r="4" ht="22" customHeight="1">
      <c r="A4" s="3" t="inlineStr">
        <is>
          <t>1 — PARAMETRI DI INGRESSO</t>
        </is>
      </c>
      <c r="B4" s="4" t="n"/>
      <c r="C4" s="4" t="n"/>
      <c r="D4" s="4" t="n"/>
    </row>
    <row r="5" ht="18" customHeight="1">
      <c r="A5" s="5" t="inlineStr">
        <is>
          <t>Risoluzione sensore X</t>
        </is>
      </c>
      <c r="B5" s="6" t="n">
        <v>2020</v>
      </c>
      <c r="C5" s="7" t="inlineStr">
        <is>
          <t>px</t>
        </is>
      </c>
      <c r="D5" s="8" t="inlineStr">
        <is>
          <t>Larghezza piena del sensore (es. 2020 per Nano-M2020)</t>
        </is>
      </c>
    </row>
    <row r="6" ht="18" customHeight="1">
      <c r="A6" s="5" t="inlineStr">
        <is>
          <t>Risoluzione sensore Y</t>
        </is>
      </c>
      <c r="B6" s="6" t="n">
        <v>2020</v>
      </c>
      <c r="C6" s="7" t="inlineStr">
        <is>
          <t>px</t>
        </is>
      </c>
      <c r="D6" s="8" t="inlineStr">
        <is>
          <t>Altezza piena del sensore</t>
        </is>
      </c>
    </row>
    <row r="7" ht="18" customHeight="1">
      <c r="A7" s="5" t="inlineStr">
        <is>
          <t>Crop larghezza ROI (X)</t>
        </is>
      </c>
      <c r="B7" s="6" t="n">
        <v>200</v>
      </c>
      <c r="C7" s="7" t="inlineStr">
        <is>
          <t>px</t>
        </is>
      </c>
      <c r="D7" s="8" t="inlineStr">
        <is>
          <t>ROI orizzontale attivo — ridurre per aumentare la velocita di frame</t>
        </is>
      </c>
    </row>
    <row r="8" ht="18" customHeight="1">
      <c r="A8" s="5" t="inlineStr">
        <is>
          <t>Crop altezza ROI (Y)</t>
        </is>
      </c>
      <c r="B8" s="6" t="n">
        <v>2020</v>
      </c>
      <c r="C8" s="7" t="inlineStr">
        <is>
          <t>px</t>
        </is>
      </c>
      <c r="D8" s="8" t="inlineStr">
        <is>
          <t>ROI verticale — uguale a sensore Y se non cropato</t>
        </is>
      </c>
    </row>
    <row r="9" ht="18" customHeight="1">
      <c r="A9" s="5" t="inlineStr">
        <is>
          <t>Calibrazione lente (mm/px)</t>
        </is>
      </c>
      <c r="B9" s="6" t="n">
        <v>0.1667</v>
      </c>
      <c r="C9" s="7" t="inlineStr">
        <is>
          <t>mm/px</t>
        </is>
      </c>
      <c r="D9" s="8" t="inlineStr">
        <is>
          <t>Calibrazione fisica della lente — invariata al variare del crop</t>
        </is>
      </c>
    </row>
    <row r="10" ht="18" customHeight="1">
      <c r="A10" s="5" t="inlineStr">
        <is>
          <t>Overlap desiderato</t>
        </is>
      </c>
      <c r="B10" s="6" t="n">
        <v>0</v>
      </c>
      <c r="C10" s="7" t="inlineStr">
        <is>
          <t>%</t>
        </is>
      </c>
      <c r="D10" s="8" t="inlineStr">
        <is>
          <t>0 = frame contigui senza sovrapposizione | 10 = 10% overlap</t>
        </is>
      </c>
    </row>
    <row r="11" ht="18" customHeight="1">
      <c r="A11" s="5" t="inlineStr">
        <is>
          <t>Numero di scatti</t>
        </is>
      </c>
      <c r="B11" s="6" t="n">
        <v>9</v>
      </c>
      <c r="C11" s="7" t="inlineStr">
        <is>
          <t>scatti</t>
        </is>
      </c>
      <c r="D11" s="8" t="inlineStr">
        <is>
          <t>Totale impulsi hardware per prodotto</t>
        </is>
      </c>
    </row>
    <row r="12" ht="18" customHeight="1">
      <c r="A12" s="5" t="inlineStr">
        <is>
          <t>Lunghezza prodotto da coprire</t>
        </is>
      </c>
      <c r="B12" s="6" t="n">
        <v>300</v>
      </c>
      <c r="C12" s="7" t="inlineStr">
        <is>
          <t>mm</t>
        </is>
      </c>
      <c r="D12" s="8" t="inlineStr">
        <is>
          <t>Lunghezza area da ispezionare — per verifica copertura</t>
        </is>
      </c>
    </row>
    <row r="13" ht="18" customHeight="1">
      <c r="A13" s="5" t="inlineStr">
        <is>
          <t>Encoder (pulses/mm)</t>
        </is>
      </c>
      <c r="B13" s="6" t="n">
        <v>8.061</v>
      </c>
      <c r="C13" s="7" t="inlineStr">
        <is>
          <t>p/mm</t>
        </is>
      </c>
      <c r="D13" s="8" t="inlineStr">
        <is>
          <t>Calibrazione encoder: es. 237 pulses / 29.4 mm = 8.061 p/mm</t>
        </is>
      </c>
    </row>
    <row r="14" ht="18" customHeight="1">
      <c r="A14" s="5" t="inlineStr">
        <is>
          <t>Bit depth camera</t>
        </is>
      </c>
      <c r="B14" s="6" t="n">
        <v>8</v>
      </c>
      <c r="C14" s="7" t="inlineStr">
        <is>
          <t>bit</t>
        </is>
      </c>
      <c r="D14" s="8" t="inlineStr">
        <is>
          <t>8 = standard GigE | 12 = alta dinamica</t>
        </is>
      </c>
    </row>
    <row r="15" ht="18" customHeight="1">
      <c r="A15" s="5" t="inlineStr">
        <is>
          <t>Banda GigE</t>
        </is>
      </c>
      <c r="B15" s="6" t="n">
        <v>1000</v>
      </c>
      <c r="C15" s="7" t="inlineStr">
        <is>
          <t>Mbps</t>
        </is>
      </c>
      <c r="D15" s="8" t="inlineStr">
        <is>
          <t>1000 = GigE 1Gbps standard | 10000 = 10GigE</t>
        </is>
      </c>
    </row>
    <row r="16" ht="18" customHeight="1">
      <c r="A16" s="4" t="n"/>
      <c r="B16" s="4" t="n"/>
      <c r="C16" s="4" t="n"/>
      <c r="D16" s="4" t="n"/>
    </row>
    <row r="17" ht="22" customHeight="1">
      <c r="A17" s="3" t="inlineStr">
        <is>
          <t>2 — CAMPO VISIVO E STEP</t>
        </is>
      </c>
      <c r="B17" s="4" t="n"/>
      <c r="C17" s="4" t="n"/>
      <c r="D17" s="4" t="n"/>
    </row>
    <row r="18" ht="18" customHeight="1">
      <c r="A18" s="5" t="inlineStr">
        <is>
          <t>FOV sensore pieno</t>
        </is>
      </c>
      <c r="B18" s="9">
        <f>B5*B9</f>
        <v/>
      </c>
      <c r="C18" s="7" t="inlineStr">
        <is>
          <t>mm</t>
        </is>
      </c>
      <c r="D18" s="8" t="inlineStr">
        <is>
          <t>Campo visivo a piena risoluzione (senza crop)</t>
        </is>
      </c>
    </row>
    <row r="19" ht="18" customHeight="1">
      <c r="A19" s="5" t="inlineStr">
        <is>
          <t>FOV crop attivo</t>
        </is>
      </c>
      <c r="B19" s="9">
        <f>B7*B9</f>
        <v/>
      </c>
      <c r="C19" s="7" t="inlineStr">
        <is>
          <t>mm</t>
        </is>
      </c>
      <c r="D19" s="8" t="inlineStr">
        <is>
          <t>Area catturata per singolo scatto con ROI applicato</t>
        </is>
      </c>
    </row>
    <row r="20" ht="18" customHeight="1">
      <c r="A20" s="5" t="inlineStr">
        <is>
          <t>Overlap fisico tra frame</t>
        </is>
      </c>
      <c r="B20" s="9">
        <f>B19*B10/100</f>
        <v/>
      </c>
      <c r="C20" s="7" t="inlineStr">
        <is>
          <t>mm</t>
        </is>
      </c>
      <c r="D20" s="8" t="inlineStr">
        <is>
          <t>Sovrapposizione tra frame adiacenti — aumentare se stitching ha artefatti</t>
        </is>
      </c>
    </row>
    <row r="21" ht="18" customHeight="1">
      <c r="A21" s="5" t="inlineStr">
        <is>
          <t>Step fisico tra scatti  (= VisionPro stepMm)</t>
        </is>
      </c>
      <c r="B21" s="10">
        <f>B19-B20</f>
        <v/>
      </c>
      <c r="C21" s="7" t="inlineStr">
        <is>
          <t>mm</t>
        </is>
      </c>
      <c r="D21" s="8" t="inlineStr">
        <is>
          <t>Distanza prodotto tra due scatti consecutivi</t>
        </is>
      </c>
    </row>
    <row r="22" ht="18" customHeight="1">
      <c r="A22" s="5" t="inlineStr">
        <is>
          <t>Step encoder  (Distance between shots)</t>
        </is>
      </c>
      <c r="B22" s="11">
        <f>ROUND(B21*B13,0)</f>
        <v/>
      </c>
      <c r="C22" s="7" t="inlineStr">
        <is>
          <t>pulses</t>
        </is>
      </c>
      <c r="D22" s="8" t="inlineStr">
        <is>
          <t>Da impostare in HMI: Distance between shots</t>
        </is>
      </c>
    </row>
    <row r="23" ht="18" customHeight="1">
      <c r="A23" s="5" t="inlineStr">
        <is>
          <t>Copertura totale</t>
        </is>
      </c>
      <c r="B23" s="12">
        <f>(B11-1)*B21+B19</f>
        <v/>
      </c>
      <c r="C23" s="7" t="inlineStr">
        <is>
          <t>mm</t>
        </is>
      </c>
      <c r="D23" s="8" t="inlineStr">
        <is>
          <t>Area totale coperta dagli N scatti</t>
        </is>
      </c>
    </row>
    <row r="24" ht="18" customHeight="1">
      <c r="A24" s="4" t="n"/>
      <c r="B24" s="4" t="n"/>
      <c r="C24" s="4" t="n"/>
      <c r="D24" s="4" t="n"/>
    </row>
    <row r="25" ht="22" customHeight="1">
      <c r="A25" s="3" t="inlineStr">
        <is>
          <t>3 — TIMING TELECAMERA</t>
        </is>
      </c>
      <c r="B25" s="4" t="n"/>
      <c r="C25" s="4" t="n"/>
      <c r="D25" s="4" t="n"/>
    </row>
    <row r="26" ht="18" customHeight="1">
      <c r="A26" s="5" t="inlineStr">
        <is>
          <t>Dati trasferiti per frame</t>
        </is>
      </c>
      <c r="B26" s="10">
        <f>B7*B8*B14/8/1000000</f>
        <v/>
      </c>
      <c r="C26" s="7" t="inlineStr">
        <is>
          <t>MB</t>
        </is>
      </c>
      <c r="D26" s="8" t="inlineStr">
        <is>
          <t>Megabyte per singolo frame al ROI corrente</t>
        </is>
      </c>
    </row>
    <row r="27" ht="18" customHeight="1">
      <c r="A27" s="5" t="inlineStr">
        <is>
          <t>Tempo trasferimento GigE</t>
        </is>
      </c>
      <c r="B27" s="12">
        <f>B26*8*1000/B15</f>
        <v/>
      </c>
      <c r="C27" s="7" t="inlineStr">
        <is>
          <t>ms</t>
        </is>
      </c>
      <c r="D27" s="8" t="inlineStr">
        <is>
          <t>Stima ideale a piena banda — no overhead protocollo</t>
        </is>
      </c>
    </row>
    <row r="28" ht="18" customHeight="1">
      <c r="A28" s="5" t="inlineStr">
        <is>
          <t>Tempo ciclo camera stimato</t>
        </is>
      </c>
      <c r="B28" s="12">
        <f>MAX(B27*1.5,15)</f>
        <v/>
      </c>
      <c r="C28" s="7" t="inlineStr">
        <is>
          <t>ms</t>
        </is>
      </c>
      <c r="D28" s="8" t="inlineStr">
        <is>
          <t>Transfer x1.5 margine sicurezza + readout (conservativo)</t>
        </is>
      </c>
    </row>
    <row r="29" ht="18" customHeight="1">
      <c r="A29" s="5" t="inlineStr">
        <is>
          <t>Minimum time between shots</t>
        </is>
      </c>
      <c r="B29" s="11">
        <f>CEILING(B28,5)</f>
        <v/>
      </c>
      <c r="C29" s="7" t="inlineStr">
        <is>
          <t>ms</t>
        </is>
      </c>
      <c r="D29" s="8" t="inlineStr">
        <is>
          <t>Da impostare in HMI — arrotondato al multiplo di 5ms</t>
        </is>
      </c>
    </row>
    <row r="30" ht="18" customHeight="1">
      <c r="A30" s="4" t="n"/>
      <c r="B30" s="4" t="n"/>
      <c r="C30" s="4" t="n"/>
      <c r="D30" s="4" t="n"/>
    </row>
    <row r="31" ht="22" customHeight="1">
      <c r="A31" s="3" t="inlineStr">
        <is>
          <t>4 — PARAMETRI VISIONPRO  (ImageStitching ToolBlock)</t>
        </is>
      </c>
      <c r="B31" s="4" t="n"/>
      <c r="C31" s="4" t="n"/>
      <c r="D31" s="4" t="n"/>
    </row>
    <row r="32" ht="18" customHeight="1">
      <c r="A32" s="5" t="inlineStr">
        <is>
          <t>expectedFrames</t>
        </is>
      </c>
      <c r="B32" s="11">
        <f>B11</f>
        <v/>
      </c>
      <c r="C32" s="7" t="inlineStr"/>
      <c r="D32" s="8" t="inlineStr">
        <is>
          <t>Input ToolBlock: numero frame attesi per completare lo stitching</t>
        </is>
      </c>
    </row>
    <row r="33" ht="18" customHeight="1">
      <c r="A33" s="5" t="inlineStr">
        <is>
          <t>stepMm</t>
        </is>
      </c>
      <c r="B33" s="10">
        <f>B21</f>
        <v/>
      </c>
      <c r="C33" s="7" t="inlineStr">
        <is>
          <t>mm</t>
        </is>
      </c>
      <c r="D33" s="8" t="inlineStr">
        <is>
          <t>Input ToolBlock: distanza fisica prodotto tra scatti</t>
        </is>
      </c>
    </row>
    <row r="34" ht="18" customHeight="1">
      <c r="A34" s="5" t="inlineStr">
        <is>
          <t>mmPerPixel</t>
        </is>
      </c>
      <c r="B34" s="13">
        <f>B9</f>
        <v/>
      </c>
      <c r="C34" s="7" t="inlineStr">
        <is>
          <t>mm/px</t>
        </is>
      </c>
      <c r="D34" s="8" t="inlineStr">
        <is>
          <t>Input ToolBlock: calibrazione lente (identica all'input — non cambia col crop)</t>
        </is>
      </c>
    </row>
    <row r="35" ht="18" customHeight="1">
      <c r="A35" s="4" t="n"/>
      <c r="B35" s="4" t="n"/>
      <c r="C35" s="4" t="n"/>
      <c r="D35" s="4" t="n"/>
    </row>
    <row r="36" ht="22" customHeight="1">
      <c r="A36" s="3" t="inlineStr">
        <is>
          <t>5 — PARAMETRI DA IMPOSTARE IN HMI  (QtisVisionPanel)</t>
        </is>
      </c>
      <c r="B36" s="4" t="n"/>
      <c r="C36" s="4" t="n"/>
      <c r="D36" s="4" t="n"/>
    </row>
    <row r="37" ht="18" customHeight="1">
      <c r="A37" s="5" t="inlineStr">
        <is>
          <t>Distance between shots</t>
        </is>
      </c>
      <c r="B37" s="11">
        <f>B22</f>
        <v/>
      </c>
      <c r="C37" s="7" t="inlineStr">
        <is>
          <t>pulses</t>
        </is>
      </c>
      <c r="D37" s="8" t="inlineStr">
        <is>
          <t>MultiShot config &gt; Distance between shots</t>
        </is>
      </c>
    </row>
    <row r="38" ht="18" customHeight="1">
      <c r="A38" s="5" t="inlineStr">
        <is>
          <t>Minimum time between shots</t>
        </is>
      </c>
      <c r="B38" s="11">
        <f>B29</f>
        <v/>
      </c>
      <c r="C38" s="7" t="inlineStr">
        <is>
          <t>ms</t>
        </is>
      </c>
      <c r="D38" s="8" t="inlineStr">
        <is>
          <t>MultiShot config &gt; Minimum time between shots</t>
        </is>
      </c>
    </row>
    <row r="39" ht="18" customHeight="1">
      <c r="A39" s="5" t="inlineStr">
        <is>
          <t>Stitching step</t>
        </is>
      </c>
      <c r="B39" s="10">
        <f>B21</f>
        <v/>
      </c>
      <c r="C39" s="7" t="inlineStr">
        <is>
          <t>mm</t>
        </is>
      </c>
      <c r="D39" s="8" t="inlineStr">
        <is>
          <t>MultiShot config &gt; Stitching step</t>
        </is>
      </c>
    </row>
    <row r="40" ht="18" customHeight="1">
      <c r="A40" s="4" t="n"/>
      <c r="B40" s="4" t="n"/>
      <c r="C40" s="4" t="n"/>
      <c r="D40" s="4" t="n"/>
    </row>
    <row r="41" ht="22" customHeight="1">
      <c r="A41" s="3" t="inlineStr">
        <is>
          <t>6 — VERIFICA</t>
        </is>
      </c>
      <c r="B41" s="4" t="n"/>
      <c r="C41" s="4" t="n"/>
      <c r="D41" s="4" t="n"/>
    </row>
    <row r="42" ht="18" customHeight="1">
      <c r="A42" s="5" t="inlineStr">
        <is>
          <t>Copertura sufficiente?</t>
        </is>
      </c>
      <c r="B42" s="14">
        <f>IF(B23&gt;=B12,"OK - copertura sufficiente","ATTENZIONE: aumentare il numero di scatti")</f>
        <v/>
      </c>
      <c r="C42" s="4" t="n"/>
      <c r="D42" s="8">
        <f>CONCATENATE("Copertura: ",TEXT(B23,"0.0")," mm  |  Prodotto: ",TEXT(B12,"0.0")," mm")</f>
        <v/>
      </c>
    </row>
    <row r="43" ht="18" customHeight="1">
      <c r="A43" s="5" t="inlineStr">
        <is>
          <t>Nessun gap tra frame?</t>
        </is>
      </c>
      <c r="B43" s="14">
        <f>IF(B21&lt;=B19,"OK - nessun gap tra frame","ATTENZIONE - GAP di "&amp;TEXT(B21-B19,"0.00")&amp;" mm tra frame adiacenti")</f>
        <v/>
      </c>
      <c r="C43" s="4" t="n"/>
      <c r="D43" s="8" t="inlineStr">
        <is>
          <t>Step deve essere minore o uguale al FOV per evitare zone non ispezionate</t>
        </is>
      </c>
    </row>
    <row r="44" ht="18" customHeight="1">
      <c r="A44" s="5" t="inlineStr">
        <is>
          <t>Overlap effettivo</t>
        </is>
      </c>
      <c r="B44" s="14">
        <f>IF(B20&gt;0,TEXT(B10,"0")&amp;"% = "&amp;TEXT(B20,"0.00")&amp;" mm overlap","Nessun overlap (frame contigui - step = FOV)")</f>
        <v/>
      </c>
      <c r="C44" s="4" t="n"/>
      <c r="D44" s="8" t="inlineStr">
        <is>
          <t>Overlap &gt;= 5% consigliato per feature matching corretto in VisionPro</t>
        </is>
      </c>
    </row>
    <row r="45" ht="18" customHeight="1">
      <c r="A45" s="5" t="inlineStr">
        <is>
          <t>Min. time &gt;= ciclo camera?</t>
        </is>
      </c>
      <c r="B45" s="14">
        <f>IF(B29&gt;=B28,"OK - timing corretto","ATTENZIONE: rischio drop frame - aumentare minimum time")</f>
        <v/>
      </c>
      <c r="C45" s="4" t="n"/>
      <c r="D45" s="8">
        <f>CONCATENATE("Min.time: ",TEXT(B29,"0")," ms  |  Ciclo stimato: ",TEXT(B28,"0.0")," ms")</f>
        <v/>
      </c>
    </row>
    <row r="46" ht="18" customHeight="1">
      <c r="A46" s="5" t="inlineStr">
        <is>
          <t>Scatti minimi per copertura prodotto</t>
        </is>
      </c>
      <c r="B46" s="11">
        <f>IFERROR(MAX(1,CEILING((B12-B19)/B21+1,1)),"N/A")</f>
        <v/>
      </c>
      <c r="C46" s="7" t="inlineStr">
        <is>
          <t>scatti</t>
        </is>
      </c>
      <c r="D46" s="8" t="inlineStr">
        <is>
          <t>Numero minimo di scatti per coprire l'intera lunghezza prodotto</t>
        </is>
      </c>
    </row>
    <row r="47" ht="18" customHeight="1">
      <c r="A47" s="5" t="inlineStr">
        <is>
          <t>Step per frame contigui (0% overlap)</t>
        </is>
      </c>
      <c r="B47" s="10">
        <f>B19</f>
        <v/>
      </c>
      <c r="C47" s="7" t="inlineStr">
        <is>
          <t>mm</t>
        </is>
      </c>
      <c r="D47" s="8">
        <f>CONCATENATE(TEXT(B19,"0.000")," mm  =&gt;  ",TEXT(ROUND(B19*B13,0),"0")," pulses (Distance between shots)")</f>
        <v/>
      </c>
    </row>
  </sheetData>
  <mergeCells count="8">
    <mergeCell ref="A1:D1"/>
    <mergeCell ref="A17:D17"/>
    <mergeCell ref="A31:D31"/>
    <mergeCell ref="A4:D4"/>
    <mergeCell ref="A25:D25"/>
    <mergeCell ref="A41:D41"/>
    <mergeCell ref="A2:D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2026-06-17T13:35:27Z</dcterms:created>
  <dcterms:modified xmlns:dcterms="http://purl.org/dc/terms/" xmlns:xsi="http://www.w3.org/2001/XMLSchema-instance" xsi:type="dcterms:W3CDTF">2026-06-17T13:35:27Z</dcterms:modified>
</cp:coreProperties>
</file>